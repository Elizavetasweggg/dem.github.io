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<sst xmlns="http://schemas.openxmlformats.org/spreadsheetml/2006/main" count="21" uniqueCount="19">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</sst>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145679</c:v>
                </c:pt>
                <c:pt idx="1">
                  <c:v>23773839</c:v>
                </c:pt>
                <c:pt idx="2">
                  <c:v>1934765</c:v>
                </c:pt>
                <c:pt idx="3">
                  <c:v>4543534</c:v>
                </c:pt>
                <c:pt idx="4">
                  <c:v>77887777</c:v>
                </c:pt>
                <c:pt idx="5">
                  <c:v>333333</c:v>
                </c:pt>
                <c:pt idx="6">
                  <c:v>33333333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23764</c:v>
                </c:pt>
                <c:pt idx="1">
                  <c:v>732647</c:v>
                </c:pt>
                <c:pt idx="2">
                  <c:v>56864</c:v>
                </c:pt>
                <c:pt idx="3">
                  <c:v>2938736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3322789</c:v>
                </c:pt>
                <c:pt idx="3">
                  <c:v>3453453</c:v>
                </c:pt>
                <c:pt idx="4">
                  <c:v>5435323</c:v>
                </c:pt>
                <c:pt idx="5">
                  <c:v>73673738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8754323</c:v>
                </c:pt>
                <c:pt idx="1">
                  <c:v>7844962</c:v>
                </c:pt>
                <c:pt idx="2">
                  <c:v>999999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233345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991707"/>
        <c:axId val="27222710"/>
      </c:lineChart>
      <c:catAx>
        <c:axId val="6199170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27222710"/>
        <c:crosses val="autoZero"/>
        <c:auto val="1"/>
        <c:lblAlgn val="ctr"/>
        <c:lblOffset val="100"/>
        <c:noMultiLvlLbl val="0"/>
      </c:catAx>
      <c:valAx>
        <c:axId val="27222710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619917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816120</xdr:colOff>
      <xdr:row>8</xdr:row>
      <xdr:rowOff>76320</xdr:rowOff>
    </xdr:from>
    <xdr:to>
      <xdr:col>13</xdr:col>
      <xdr:colOff>312840</xdr:colOff>
      <xdr:row>27</xdr:row>
      <xdr:rowOff>26640</xdr:rowOff>
    </xdr:to>
    <xdr:graphicFrame>
      <xdr:nvGraphicFramePr>
        <xdr:cNvPr id="0" name="Chart 1"/>
        <xdr:cNvGraphicFramePr/>
      </xdr:nvGraphicFramePr>
      <xdr:xfrm>
        <a:off x="816120" y="1600200"/>
        <a:ext cx="10186920" cy="357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MAX(Лист3!A3:A26)</f>
        <v>23</v>
      </c>
      <c r="C3" s="2" t="n">
        <f aca="false">MAX(Лист3!B3:B26)</f>
        <v>16777215</v>
      </c>
      <c r="D3" s="2" t="n">
        <f aca="false">MAX(Лист3!C3:C26)</f>
        <v>141214768240</v>
      </c>
    </row>
    <row r="4" customFormat="false" ht="15" hidden="false" customHeight="false" outlineLevel="0" collapsed="false">
      <c r="A4" s="2" t="s">
        <v>11</v>
      </c>
      <c r="B4" s="2" t="n">
        <f aca="false">MIN(Лист3!A4:A27)</f>
        <v>2</v>
      </c>
      <c r="C4" s="2" t="n">
        <f aca="false">MIN(Лист3!B4:B27)</f>
        <v>7</v>
      </c>
      <c r="D4" s="2" t="n">
        <f aca="false">MIN(Лист3!C4:C27)</f>
        <v>13</v>
      </c>
    </row>
    <row r="5" customFormat="false" ht="15" hidden="false" customHeight="false" outlineLevel="0" collapsed="false">
      <c r="A5" s="2" t="s">
        <v>12</v>
      </c>
      <c r="B5" s="2" t="n">
        <f aca="false">MEDIAN(Лист3!A5:A28)</f>
        <v>13</v>
      </c>
      <c r="C5" s="2" t="n">
        <f aca="false">MEDIAN(Лист3!B5:B28)</f>
        <v>16383</v>
      </c>
      <c r="D5" s="2" t="n">
        <f aca="false">MEDIAN(Лист3!C5:C28)</f>
        <v>2391484</v>
      </c>
      <c r="F5" s="1"/>
    </row>
    <row r="6" customFormat="false" ht="15" hidden="false" customHeight="false" outlineLevel="0" collapsed="false">
      <c r="A6" s="2" t="s">
        <v>13</v>
      </c>
      <c r="B6" s="2" t="e">
        <f aca="false">MODE(Лист3!A6:A29)</f>
        <v>#VALUE!</v>
      </c>
      <c r="C6" s="2" t="e">
        <f aca="false">MODE(Лист3!B6:B29)</f>
        <v>#VALUE!</v>
      </c>
      <c r="D6" s="2" t="e">
        <f aca="false">MODE(Лист3!C6:C29)</f>
        <v>#VALUE!</v>
      </c>
    </row>
    <row r="7" customFormat="false" ht="15" hidden="false" customHeight="false" outlineLevel="0" collapsed="false">
      <c r="A7" s="2" t="s">
        <v>14</v>
      </c>
      <c r="B7" s="2" t="n">
        <f aca="false">VAR(Лист3!A2:A25)</f>
        <v>50</v>
      </c>
      <c r="C7" s="2" t="n">
        <f aca="false">VAR(Лист3!B7:B30)</f>
        <v>17557905842391.6</v>
      </c>
      <c r="D7" s="2" t="n">
        <f aca="false">VAR(Лист3!C7:C30)</f>
        <v>1.11515586560967E+021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145679</v>
      </c>
      <c r="C2" s="5" t="n">
        <v>23773839</v>
      </c>
      <c r="D2" s="5" t="n">
        <v>1934765</v>
      </c>
      <c r="E2" s="5" t="n">
        <v>4543534</v>
      </c>
      <c r="F2" s="5" t="n">
        <v>77887777</v>
      </c>
      <c r="G2" s="5" t="n">
        <v>333333</v>
      </c>
      <c r="H2" s="5" t="n">
        <v>33333333</v>
      </c>
    </row>
    <row r="3" customFormat="false" ht="15" hidden="false" customHeight="false" outlineLevel="0" collapsed="false">
      <c r="A3" s="5" t="s">
        <v>16</v>
      </c>
      <c r="B3" s="5" t="n">
        <v>23764</v>
      </c>
      <c r="C3" s="5" t="n">
        <v>732647</v>
      </c>
      <c r="D3" s="5" t="n">
        <v>56864</v>
      </c>
      <c r="E3" s="5" t="n">
        <v>2938736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3322789</v>
      </c>
      <c r="E4" s="5" t="n">
        <v>3453453</v>
      </c>
      <c r="F4" s="5" t="n">
        <v>5435323</v>
      </c>
      <c r="G4" s="5" t="n">
        <v>73673738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8754323</v>
      </c>
      <c r="C5" s="5" t="n">
        <v>7844962</v>
      </c>
      <c r="D5" s="5" t="n">
        <v>999999</v>
      </c>
      <c r="E5" s="5" t="n">
        <v>8233225</v>
      </c>
      <c r="F5" s="5" t="n">
        <v>8109432</v>
      </c>
      <c r="G5" s="5" t="n">
        <v>6393392</v>
      </c>
      <c r="H5" s="5" t="n">
        <v>233345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32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2026-05-21T13:59:38Z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